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ordoba-my.sharepoint.com/personal/b42otmoj_uco_es/Documents/Trabajo/PROYECTOS ON/2013_2021 DEOLEO/MODEL/Data/"/>
    </mc:Choice>
  </mc:AlternateContent>
  <xr:revisionPtr revIDLastSave="343" documentId="13_ncr:4000b_{6F0A6980-1E43-4129-9F59-D808CC2AE339}" xr6:coauthVersionLast="47" xr6:coauthVersionMax="47" xr10:uidLastSave="{6D9F6654-64B6-4098-A120-1A4B0712BE45}"/>
  <bookViews>
    <workbookView xWindow="-120" yWindow="-120" windowWidth="29040" windowHeight="15840" tabRatio="653" xr2:uid="{00000000-000D-0000-FFFF-FFFF00000000}"/>
  </bookViews>
  <sheets>
    <sheet name="Crop" sheetId="2" r:id="rId1"/>
    <sheet name="Sourc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2" l="1"/>
  <c r="H45" i="2"/>
  <c r="H44" i="2"/>
  <c r="E44" i="2"/>
  <c r="E2" i="2"/>
  <c r="E43" i="2"/>
  <c r="H43" i="2"/>
  <c r="E42" i="2"/>
  <c r="H42" i="2"/>
  <c r="H39" i="2"/>
  <c r="H40" i="2"/>
  <c r="H41" i="2"/>
  <c r="E41" i="2"/>
  <c r="H2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</calcChain>
</file>

<file path=xl/sharedStrings.xml><?xml version="1.0" encoding="utf-8"?>
<sst xmlns="http://schemas.openxmlformats.org/spreadsheetml/2006/main" count="58" uniqueCount="58">
  <si>
    <t>Year</t>
  </si>
  <si>
    <t>Oil_Spain</t>
  </si>
  <si>
    <t>Oil_And</t>
  </si>
  <si>
    <t>Crop_And</t>
  </si>
  <si>
    <t>Season</t>
  </si>
  <si>
    <t>1993_1994</t>
  </si>
  <si>
    <t>2003_2004</t>
  </si>
  <si>
    <t>2013_2014</t>
  </si>
  <si>
    <t>1994_1995</t>
  </si>
  <si>
    <t>1995_1996</t>
  </si>
  <si>
    <t>1996_1997</t>
  </si>
  <si>
    <t>1997_1998</t>
  </si>
  <si>
    <t>1998_1999</t>
  </si>
  <si>
    <t>1999_2000</t>
  </si>
  <si>
    <t>2000_2001</t>
  </si>
  <si>
    <t>2001_2002</t>
  </si>
  <si>
    <t>2002_2003</t>
  </si>
  <si>
    <t>2004_2005</t>
  </si>
  <si>
    <t>2005_2006</t>
  </si>
  <si>
    <t>2006_2007</t>
  </si>
  <si>
    <t>2007_2008</t>
  </si>
  <si>
    <t>2008_2009</t>
  </si>
  <si>
    <t>2009_2010</t>
  </si>
  <si>
    <t>2010_2011</t>
  </si>
  <si>
    <t>2011_2012</t>
  </si>
  <si>
    <t>2012_2013</t>
  </si>
  <si>
    <t>2014_2015</t>
  </si>
  <si>
    <t>2015_2016</t>
  </si>
  <si>
    <t>2016_2017</t>
  </si>
  <si>
    <t>2017_2018</t>
  </si>
  <si>
    <t>2018_2019</t>
  </si>
  <si>
    <t>2019_2020</t>
  </si>
  <si>
    <t>Anuarios de Estadística Agraria (MAPA)</t>
  </si>
  <si>
    <t>https://www.mapa.gob.es/es/estadistica/temas/publicaciones/anuario-de-estadistica/default.aspx#ancla4</t>
  </si>
  <si>
    <t>1982_1983</t>
  </si>
  <si>
    <t>1983_1984</t>
  </si>
  <si>
    <t>1984_1985</t>
  </si>
  <si>
    <t>1985_1986</t>
  </si>
  <si>
    <t>1986_1987</t>
  </si>
  <si>
    <t>1987_1988</t>
  </si>
  <si>
    <t>1988_1989</t>
  </si>
  <si>
    <t>1989_1990</t>
  </si>
  <si>
    <t>1990_1991</t>
  </si>
  <si>
    <t>1992_1993</t>
  </si>
  <si>
    <t>2020_2021</t>
  </si>
  <si>
    <t>https://www.juntadeandalucia.es/organismos/agriculturaganaderiapescaydesarrollosostenible/servicios/estadistica-cartografia/estadisticas-agricolas/paginas/aforos-estadisticas-agricolas.html</t>
  </si>
  <si>
    <t>Aforos</t>
  </si>
  <si>
    <t>Crop_Spain</t>
  </si>
  <si>
    <t>1993_1992</t>
  </si>
  <si>
    <t>Rendimiento_And</t>
  </si>
  <si>
    <t>Rendimiento_Spain</t>
  </si>
  <si>
    <t>2021_2022</t>
  </si>
  <si>
    <t>2022_2023</t>
  </si>
  <si>
    <t>Avances Andalucía</t>
  </si>
  <si>
    <t>Avance de superficies y producciones - Junta de Andalucía (juntadeandalucia.es)</t>
  </si>
  <si>
    <t>2023_2024</t>
  </si>
  <si>
    <t>2024_2025</t>
  </si>
  <si>
    <t>2025_2026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</si>
</sst>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  <charset val="1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2" fontId="2" fillId="2" borderId="1" xfId="1" applyNumberFormat="1" applyFill="1" applyBorder="1" applyAlignment="1">
      <alignment horizontal="center" vertical="center"/>
    </xf>
    <xf numFmtId="0" fontId="6" fillId="0" borderId="0" xfId="7"/>
    <xf numFmtId="0" fontId="0" fillId="0" borderId="0" xfId="0" applyAlignment="1">
      <alignment horizontal="center"/>
    </xf>
    <xf numFmtId="0" fontId="7" fillId="0" borderId="0" xfId="0" applyFont="1"/>
    <xf numFmtId="0" fontId="2" fillId="0" borderId="1" xfId="1" applyBorder="1"/>
    <xf numFmtId="0" fontId="2" fillId="0" borderId="1" xfId="1" applyBorder="1" applyAlignment="1">
      <alignment horizontal="center" vertical="center"/>
    </xf>
  </cellXfs>
  <cellStyles count="8">
    <cellStyle name="Excel Built-in Normal" xfId="1" xr:uid="{00000000-0005-0000-0000-000000000000}"/>
    <cellStyle name="Hipervínculo" xfId="7" builtinId="8"/>
    <cellStyle name="Hipervínculo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2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48A54"/>
      <rgbColor rgb="009999FF"/>
      <rgbColor rgb="00C0504D"/>
      <rgbColor rgb="00F2F2F2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33CCCC"/>
      <rgbColor rgb="009BBB59"/>
      <rgbColor rgb="00FFCC00"/>
      <rgbColor rgb="00FF9900"/>
      <rgbColor rgb="00FF6600"/>
      <rgbColor rgb="008064A2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untadeandalucia.es/organismos/agriculturapescaaguaydesarrollorural/servicios/estadistica-cartografia/estadisticas-agricolas/paginas/avance-superficie-producciones-agricolas.html" TargetMode="External"/><Relationship Id="rId2" Type="http://schemas.openxmlformats.org/officeDocument/2006/relationships/hyperlink" Target="https://www.juntadeandalucia.es/organismos/agriculturaganaderiapescaydesarrollosostenible/servicios/estadistica-cartografia/estadisticas-agricolas/paginas/aforos-estadisticas-agricolas.html" TargetMode="External"/><Relationship Id="rId1" Type="http://schemas.openxmlformats.org/officeDocument/2006/relationships/hyperlink" Target="https://www.mapa.gob.es/es/estadistica/temas/publicaciones/anuario-de-estadistica/default.aspx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115" zoomScaleNormal="115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D45" sqref="D45"/>
    </sheetView>
  </sheetViews>
  <sheetFormatPr baseColWidth="10" defaultColWidth="10.7109375" defaultRowHeight="15" x14ac:dyDescent="0.25"/>
  <cols>
    <col min="1" max="4" width="10.7109375" style="1"/>
    <col min="5" max="5" width="17.28515625" style="1" bestFit="1" customWidth="1"/>
    <col min="6" max="6" width="13" style="2" bestFit="1" customWidth="1"/>
    <col min="7" max="7" width="10.7109375" style="1"/>
    <col min="8" max="8" width="18.5703125" style="1" bestFit="1" customWidth="1"/>
    <col min="9" max="9" width="11.140625" style="1" bestFit="1" customWidth="1"/>
    <col min="10" max="16384" width="10.7109375" style="1"/>
  </cols>
  <sheetData>
    <row r="1" spans="1:8" x14ac:dyDescent="0.25">
      <c r="A1" s="3" t="s">
        <v>0</v>
      </c>
      <c r="B1" s="3" t="s">
        <v>4</v>
      </c>
      <c r="C1" s="3" t="s">
        <v>3</v>
      </c>
      <c r="D1" s="3" t="s">
        <v>2</v>
      </c>
      <c r="E1" s="3" t="s">
        <v>49</v>
      </c>
      <c r="F1" s="3" t="s">
        <v>47</v>
      </c>
      <c r="G1" s="3" t="s">
        <v>1</v>
      </c>
      <c r="H1" s="3" t="s">
        <v>50</v>
      </c>
    </row>
    <row r="2" spans="1:8" x14ac:dyDescent="0.25">
      <c r="A2" s="3">
        <v>1982</v>
      </c>
      <c r="B2" s="3" t="s">
        <v>34</v>
      </c>
      <c r="C2" s="3">
        <v>2385586</v>
      </c>
      <c r="D2" s="3">
        <v>504643</v>
      </c>
      <c r="E2" s="4">
        <f t="shared" ref="E2:E45" si="0">D2*100/C2</f>
        <v>21.153838092611206</v>
      </c>
      <c r="F2" s="3">
        <v>3068800</v>
      </c>
      <c r="G2" s="3">
        <v>666134</v>
      </c>
      <c r="H2" s="4">
        <f t="shared" ref="H2:H45" si="1">G2*100/F2</f>
        <v>21.706660583941606</v>
      </c>
    </row>
    <row r="3" spans="1:8" x14ac:dyDescent="0.25">
      <c r="A3" s="3">
        <v>1983</v>
      </c>
      <c r="B3" s="3" t="s">
        <v>35</v>
      </c>
      <c r="C3" s="3">
        <v>939586</v>
      </c>
      <c r="D3" s="3">
        <v>198255</v>
      </c>
      <c r="E3" s="4">
        <f t="shared" si="0"/>
        <v>21.100250535874309</v>
      </c>
      <c r="F3" s="3">
        <v>1252077</v>
      </c>
      <c r="G3" s="3">
        <v>266240</v>
      </c>
      <c r="H3" s="4">
        <f t="shared" si="1"/>
        <v>21.263867957002645</v>
      </c>
    </row>
    <row r="4" spans="1:8" x14ac:dyDescent="0.25">
      <c r="A4" s="3">
        <v>1984</v>
      </c>
      <c r="B4" s="3" t="s">
        <v>36</v>
      </c>
      <c r="C4" s="3">
        <v>2683488</v>
      </c>
      <c r="D4" s="3">
        <v>577986</v>
      </c>
      <c r="E4" s="4">
        <f t="shared" si="0"/>
        <v>21.538609451579436</v>
      </c>
      <c r="F4" s="3">
        <v>3236700</v>
      </c>
      <c r="G4" s="3">
        <v>702741</v>
      </c>
      <c r="H4" s="4">
        <f t="shared" si="1"/>
        <v>21.711650755399017</v>
      </c>
    </row>
    <row r="5" spans="1:8" x14ac:dyDescent="0.25">
      <c r="A5" s="3">
        <v>1985</v>
      </c>
      <c r="B5" s="3" t="s">
        <v>37</v>
      </c>
      <c r="C5" s="3">
        <v>1385023</v>
      </c>
      <c r="D5" s="3">
        <v>292447</v>
      </c>
      <c r="E5" s="4">
        <f t="shared" si="0"/>
        <v>21.114956213723527</v>
      </c>
      <c r="F5" s="3">
        <v>1874900</v>
      </c>
      <c r="G5" s="3">
        <v>397184</v>
      </c>
      <c r="H5" s="4">
        <f t="shared" si="1"/>
        <v>21.184276494746385</v>
      </c>
    </row>
    <row r="6" spans="1:8" x14ac:dyDescent="0.25">
      <c r="A6" s="3">
        <v>1986</v>
      </c>
      <c r="B6" s="3" t="s">
        <v>38</v>
      </c>
      <c r="C6" s="3">
        <v>1914195</v>
      </c>
      <c r="D6" s="3">
        <v>403522</v>
      </c>
      <c r="E6" s="4">
        <f t="shared" si="0"/>
        <v>21.080506426983668</v>
      </c>
      <c r="F6" s="3">
        <v>2319000</v>
      </c>
      <c r="G6" s="3">
        <v>489798</v>
      </c>
      <c r="H6" s="4">
        <f t="shared" si="1"/>
        <v>21.121086675291075</v>
      </c>
    </row>
    <row r="7" spans="1:8" x14ac:dyDescent="0.25">
      <c r="A7" s="3">
        <v>1987</v>
      </c>
      <c r="B7" s="3" t="s">
        <v>39</v>
      </c>
      <c r="C7" s="3">
        <v>2904892</v>
      </c>
      <c r="D7" s="3">
        <v>575176</v>
      </c>
      <c r="E7" s="4">
        <f t="shared" si="0"/>
        <v>19.800254191894226</v>
      </c>
      <c r="F7" s="3">
        <v>3663100</v>
      </c>
      <c r="G7" s="3">
        <v>733716</v>
      </c>
      <c r="H7" s="4">
        <f t="shared" si="1"/>
        <v>20.029920013103656</v>
      </c>
    </row>
    <row r="8" spans="1:8" x14ac:dyDescent="0.25">
      <c r="A8" s="3">
        <v>1988</v>
      </c>
      <c r="B8" s="3" t="s">
        <v>40</v>
      </c>
      <c r="C8" s="3">
        <v>1704820</v>
      </c>
      <c r="D8" s="3">
        <v>332213</v>
      </c>
      <c r="E8" s="4">
        <f t="shared" si="0"/>
        <v>19.48669067702162</v>
      </c>
      <c r="F8" s="3">
        <v>2054400</v>
      </c>
      <c r="G8" s="3">
        <v>399381</v>
      </c>
      <c r="H8" s="4">
        <f t="shared" si="1"/>
        <v>19.44027453271028</v>
      </c>
    </row>
    <row r="9" spans="1:8" x14ac:dyDescent="0.25">
      <c r="A9" s="3">
        <v>1989</v>
      </c>
      <c r="B9" s="3" t="s">
        <v>41</v>
      </c>
      <c r="C9" s="3">
        <v>2005819</v>
      </c>
      <c r="D9" s="3">
        <v>410626</v>
      </c>
      <c r="E9" s="4">
        <f t="shared" si="0"/>
        <v>20.471737479802513</v>
      </c>
      <c r="F9" s="3">
        <v>2661300</v>
      </c>
      <c r="G9" s="3">
        <v>550768</v>
      </c>
      <c r="H9" s="4">
        <f t="shared" si="1"/>
        <v>20.695449592304513</v>
      </c>
    </row>
    <row r="10" spans="1:8" x14ac:dyDescent="0.25">
      <c r="A10" s="3">
        <v>1990</v>
      </c>
      <c r="B10" s="3" t="s">
        <v>42</v>
      </c>
      <c r="C10" s="3">
        <v>2729128</v>
      </c>
      <c r="D10" s="3">
        <v>544323</v>
      </c>
      <c r="E10" s="4">
        <f t="shared" si="0"/>
        <v>19.944942120706688</v>
      </c>
      <c r="F10" s="3">
        <v>3153200</v>
      </c>
      <c r="G10" s="3">
        <v>639395</v>
      </c>
      <c r="H10" s="4">
        <f t="shared" si="1"/>
        <v>20.277654446276799</v>
      </c>
    </row>
    <row r="11" spans="1:8" x14ac:dyDescent="0.25">
      <c r="A11" s="3">
        <v>1991</v>
      </c>
      <c r="B11" s="3" t="s">
        <v>48</v>
      </c>
      <c r="C11" s="3">
        <v>2109184</v>
      </c>
      <c r="D11" s="3">
        <v>453396</v>
      </c>
      <c r="E11" s="4">
        <f t="shared" si="0"/>
        <v>21.496275336812719</v>
      </c>
      <c r="F11" s="3">
        <v>2725400</v>
      </c>
      <c r="G11" s="3">
        <v>592972</v>
      </c>
      <c r="H11" s="4">
        <f t="shared" si="1"/>
        <v>21.75724664269465</v>
      </c>
    </row>
    <row r="12" spans="1:8" x14ac:dyDescent="0.25">
      <c r="A12" s="3">
        <v>1992</v>
      </c>
      <c r="B12" s="3" t="s">
        <v>43</v>
      </c>
      <c r="C12" s="3">
        <v>2457589</v>
      </c>
      <c r="D12" s="3">
        <v>514743</v>
      </c>
      <c r="E12" s="4">
        <f t="shared" si="0"/>
        <v>20.945040037207196</v>
      </c>
      <c r="F12" s="3">
        <v>2945800</v>
      </c>
      <c r="G12" s="3">
        <v>623081</v>
      </c>
      <c r="H12" s="4">
        <f t="shared" si="1"/>
        <v>21.151503835969855</v>
      </c>
    </row>
    <row r="13" spans="1:8" x14ac:dyDescent="0.25">
      <c r="A13" s="3">
        <v>1993</v>
      </c>
      <c r="B13" s="3" t="s">
        <v>5</v>
      </c>
      <c r="C13" s="3">
        <v>1921239</v>
      </c>
      <c r="D13" s="3">
        <v>407573</v>
      </c>
      <c r="E13" s="4">
        <f t="shared" si="0"/>
        <v>21.214070711660547</v>
      </c>
      <c r="F13" s="3">
        <v>2605700</v>
      </c>
      <c r="G13" s="3">
        <v>549064</v>
      </c>
      <c r="H13" s="4">
        <f t="shared" si="1"/>
        <v>21.071650612119583</v>
      </c>
    </row>
    <row r="14" spans="1:8" x14ac:dyDescent="0.25">
      <c r="A14" s="3">
        <v>1994</v>
      </c>
      <c r="B14" s="3" t="s">
        <v>8</v>
      </c>
      <c r="C14" s="3">
        <v>2235132</v>
      </c>
      <c r="D14" s="3">
        <v>457772</v>
      </c>
      <c r="E14" s="4">
        <f t="shared" si="0"/>
        <v>20.48075907821104</v>
      </c>
      <c r="F14" s="3">
        <v>2608000</v>
      </c>
      <c r="G14" s="3">
        <v>526877</v>
      </c>
      <c r="H14" s="4">
        <f t="shared" si="1"/>
        <v>20.202338957055215</v>
      </c>
    </row>
    <row r="15" spans="1:8" x14ac:dyDescent="0.25">
      <c r="A15" s="3">
        <v>1995</v>
      </c>
      <c r="B15" s="3" t="s">
        <v>9</v>
      </c>
      <c r="C15" s="3">
        <v>1105653</v>
      </c>
      <c r="D15" s="3">
        <v>231125</v>
      </c>
      <c r="E15" s="4">
        <f t="shared" si="0"/>
        <v>20.90393640681118</v>
      </c>
      <c r="F15" s="3">
        <v>1594546</v>
      </c>
      <c r="G15" s="3">
        <v>336076</v>
      </c>
      <c r="H15" s="4">
        <f t="shared" si="1"/>
        <v>21.076594842669952</v>
      </c>
    </row>
    <row r="16" spans="1:8" x14ac:dyDescent="0.25">
      <c r="A16" s="3">
        <v>1996</v>
      </c>
      <c r="B16" s="3" t="s">
        <v>10</v>
      </c>
      <c r="C16" s="3">
        <v>3628849</v>
      </c>
      <c r="D16" s="3">
        <v>799882</v>
      </c>
      <c r="E16" s="4">
        <f t="shared" si="0"/>
        <v>22.042305976357792</v>
      </c>
      <c r="F16" s="3">
        <v>4328300</v>
      </c>
      <c r="G16" s="3">
        <v>954148</v>
      </c>
      <c r="H16" s="4">
        <f t="shared" si="1"/>
        <v>22.044405424762608</v>
      </c>
    </row>
    <row r="17" spans="1:8" x14ac:dyDescent="0.25">
      <c r="A17" s="3">
        <v>1997</v>
      </c>
      <c r="B17" s="3" t="s">
        <v>11</v>
      </c>
      <c r="C17" s="3">
        <v>4433997</v>
      </c>
      <c r="D17" s="3">
        <v>881817</v>
      </c>
      <c r="E17" s="4">
        <f t="shared" si="0"/>
        <v>19.887631859020203</v>
      </c>
      <c r="F17" s="3">
        <v>5571200</v>
      </c>
      <c r="G17" s="3">
        <v>1120952</v>
      </c>
      <c r="H17" s="4">
        <f t="shared" si="1"/>
        <v>20.120476737507179</v>
      </c>
    </row>
    <row r="18" spans="1:8" x14ac:dyDescent="0.25">
      <c r="A18" s="3">
        <v>1998</v>
      </c>
      <c r="B18" s="3" t="s">
        <v>12</v>
      </c>
      <c r="C18" s="3">
        <v>3358149</v>
      </c>
      <c r="D18" s="3">
        <v>716740</v>
      </c>
      <c r="E18" s="4">
        <f t="shared" si="0"/>
        <v>21.343305493591856</v>
      </c>
      <c r="F18" s="3">
        <v>3967322</v>
      </c>
      <c r="G18" s="3">
        <v>846851</v>
      </c>
      <c r="H18" s="4">
        <f t="shared" si="1"/>
        <v>21.345658355938841</v>
      </c>
    </row>
    <row r="19" spans="1:8" x14ac:dyDescent="0.25">
      <c r="A19" s="3">
        <v>1999</v>
      </c>
      <c r="B19" s="3" t="s">
        <v>13</v>
      </c>
      <c r="C19" s="3">
        <v>2159126</v>
      </c>
      <c r="D19" s="3">
        <v>470488</v>
      </c>
      <c r="E19" s="4">
        <f t="shared" si="0"/>
        <v>21.790669002179584</v>
      </c>
      <c r="F19" s="3">
        <v>3035000</v>
      </c>
      <c r="G19" s="3">
        <v>667536</v>
      </c>
      <c r="H19" s="4">
        <f t="shared" si="1"/>
        <v>21.994596375617792</v>
      </c>
    </row>
    <row r="20" spans="1:8" x14ac:dyDescent="0.25">
      <c r="A20" s="3">
        <v>2000</v>
      </c>
      <c r="B20" s="3" t="s">
        <v>14</v>
      </c>
      <c r="C20" s="3">
        <v>4128226</v>
      </c>
      <c r="D20" s="3">
        <v>852495</v>
      </c>
      <c r="E20" s="4">
        <f t="shared" si="0"/>
        <v>20.650395593652092</v>
      </c>
      <c r="F20" s="3">
        <v>4729100</v>
      </c>
      <c r="G20" s="3">
        <v>983484</v>
      </c>
      <c r="H20" s="4">
        <f t="shared" si="1"/>
        <v>20.796430610475568</v>
      </c>
    </row>
    <row r="21" spans="1:8" x14ac:dyDescent="0.25">
      <c r="A21" s="3">
        <v>2001</v>
      </c>
      <c r="B21" s="3" t="s">
        <v>15</v>
      </c>
      <c r="C21" s="3">
        <v>5346591</v>
      </c>
      <c r="D21" s="3">
        <v>1174547</v>
      </c>
      <c r="E21" s="4">
        <f t="shared" si="0"/>
        <v>21.968147554207906</v>
      </c>
      <c r="F21" s="3">
        <v>6496600</v>
      </c>
      <c r="G21" s="3">
        <v>1422035</v>
      </c>
      <c r="H21" s="4">
        <f t="shared" si="1"/>
        <v>21.888911122741128</v>
      </c>
    </row>
    <row r="22" spans="1:8" x14ac:dyDescent="0.25">
      <c r="A22" s="3">
        <v>2002</v>
      </c>
      <c r="B22" s="3" t="s">
        <v>16</v>
      </c>
      <c r="C22" s="3">
        <v>3269290</v>
      </c>
      <c r="D22" s="3">
        <v>707655</v>
      </c>
      <c r="E22" s="4">
        <f t="shared" si="0"/>
        <v>21.645525481067754</v>
      </c>
      <c r="F22" s="3">
        <v>4057000</v>
      </c>
      <c r="G22" s="3">
        <v>836902</v>
      </c>
      <c r="H22" s="4">
        <f t="shared" si="1"/>
        <v>20.628592556075919</v>
      </c>
    </row>
    <row r="23" spans="1:8" x14ac:dyDescent="0.25">
      <c r="A23" s="3">
        <v>2003</v>
      </c>
      <c r="B23" s="3" t="s">
        <v>6</v>
      </c>
      <c r="C23" s="3">
        <v>5877045</v>
      </c>
      <c r="D23" s="3">
        <v>1205751</v>
      </c>
      <c r="E23" s="4">
        <f t="shared" si="0"/>
        <v>20.516279865136305</v>
      </c>
      <c r="F23" s="3">
        <v>7055100</v>
      </c>
      <c r="G23" s="3">
        <v>1449071</v>
      </c>
      <c r="H23" s="4">
        <f t="shared" si="1"/>
        <v>20.539340335360237</v>
      </c>
    </row>
    <row r="24" spans="1:8" x14ac:dyDescent="0.25">
      <c r="A24" s="3">
        <v>2004</v>
      </c>
      <c r="B24" s="3" t="s">
        <v>17</v>
      </c>
      <c r="C24" s="3">
        <v>3931473</v>
      </c>
      <c r="D24" s="3">
        <v>837595</v>
      </c>
      <c r="E24" s="4">
        <f t="shared" si="0"/>
        <v>21.304864614357012</v>
      </c>
      <c r="F24" s="3">
        <v>4744600</v>
      </c>
      <c r="G24" s="3">
        <v>1005461</v>
      </c>
      <c r="H24" s="4">
        <f t="shared" si="1"/>
        <v>21.191691607300932</v>
      </c>
    </row>
    <row r="25" spans="1:8" x14ac:dyDescent="0.25">
      <c r="A25" s="3">
        <v>2005</v>
      </c>
      <c r="B25" s="3" t="s">
        <v>18</v>
      </c>
      <c r="C25" s="3">
        <v>2803980</v>
      </c>
      <c r="D25" s="3">
        <v>638450</v>
      </c>
      <c r="E25" s="4">
        <f t="shared" si="0"/>
        <v>22.769420609276814</v>
      </c>
      <c r="F25" s="3">
        <v>3646301</v>
      </c>
      <c r="G25" s="3">
        <v>819428</v>
      </c>
      <c r="H25" s="4">
        <f t="shared" si="1"/>
        <v>22.472856738925284</v>
      </c>
    </row>
    <row r="26" spans="1:8" x14ac:dyDescent="0.25">
      <c r="A26" s="3">
        <v>2006</v>
      </c>
      <c r="B26" s="3" t="s">
        <v>19</v>
      </c>
      <c r="C26" s="3">
        <v>4430124</v>
      </c>
      <c r="D26" s="3">
        <v>924620</v>
      </c>
      <c r="E26" s="4">
        <f t="shared" si="0"/>
        <v>20.871199090589791</v>
      </c>
      <c r="F26" s="3">
        <v>5283345</v>
      </c>
      <c r="G26" s="3">
        <v>1092602</v>
      </c>
      <c r="H26" s="4">
        <f t="shared" si="1"/>
        <v>20.680118371978359</v>
      </c>
    </row>
    <row r="27" spans="1:8" x14ac:dyDescent="0.25">
      <c r="A27" s="3">
        <v>2007</v>
      </c>
      <c r="B27" s="3" t="s">
        <v>20</v>
      </c>
      <c r="C27" s="3">
        <v>4727547</v>
      </c>
      <c r="D27" s="3">
        <v>988677</v>
      </c>
      <c r="E27" s="4">
        <f t="shared" si="0"/>
        <v>20.913107791419101</v>
      </c>
      <c r="F27" s="3">
        <v>5701679</v>
      </c>
      <c r="G27" s="3">
        <v>1192664</v>
      </c>
      <c r="H27" s="4">
        <f t="shared" si="1"/>
        <v>20.917768257385237</v>
      </c>
    </row>
    <row r="28" spans="1:8" x14ac:dyDescent="0.25">
      <c r="A28" s="3">
        <v>2008</v>
      </c>
      <c r="B28" s="3" t="s">
        <v>21</v>
      </c>
      <c r="C28" s="3">
        <v>4064004</v>
      </c>
      <c r="D28" s="3">
        <v>831866</v>
      </c>
      <c r="E28" s="4">
        <f t="shared" si="0"/>
        <v>20.469123554012249</v>
      </c>
      <c r="F28" s="3">
        <v>5008900</v>
      </c>
      <c r="G28" s="3">
        <v>1044687</v>
      </c>
      <c r="H28" s="4">
        <f t="shared" si="1"/>
        <v>20.856615224899677</v>
      </c>
    </row>
    <row r="29" spans="1:8" x14ac:dyDescent="0.25">
      <c r="A29" s="3">
        <v>2009</v>
      </c>
      <c r="B29" s="3" t="s">
        <v>22</v>
      </c>
      <c r="C29" s="3">
        <v>5440276</v>
      </c>
      <c r="D29" s="3">
        <v>1167040</v>
      </c>
      <c r="E29" s="4">
        <f t="shared" si="0"/>
        <v>21.451852810408884</v>
      </c>
      <c r="F29" s="3">
        <v>6482726</v>
      </c>
      <c r="G29" s="3">
        <v>1384383</v>
      </c>
      <c r="H29" s="4">
        <f t="shared" si="1"/>
        <v>21.354951605235204</v>
      </c>
    </row>
    <row r="30" spans="1:8" x14ac:dyDescent="0.25">
      <c r="A30" s="3">
        <v>2010</v>
      </c>
      <c r="B30" s="3" t="s">
        <v>23</v>
      </c>
      <c r="C30" s="3">
        <v>5501478</v>
      </c>
      <c r="D30" s="3">
        <v>1138052</v>
      </c>
      <c r="E30" s="4">
        <f t="shared" si="0"/>
        <v>20.686295573662203</v>
      </c>
      <c r="F30" s="3">
        <v>6682009</v>
      </c>
      <c r="G30" s="3">
        <v>1395210</v>
      </c>
      <c r="H30" s="4">
        <f t="shared" si="1"/>
        <v>20.880097587417197</v>
      </c>
    </row>
    <row r="31" spans="1:8" x14ac:dyDescent="0.25">
      <c r="A31" s="3">
        <v>2011</v>
      </c>
      <c r="B31" s="3" t="s">
        <v>24</v>
      </c>
      <c r="C31" s="3">
        <v>6181398</v>
      </c>
      <c r="D31" s="3">
        <v>1326522</v>
      </c>
      <c r="E31" s="4">
        <f t="shared" si="0"/>
        <v>21.459902759861119</v>
      </c>
      <c r="F31" s="3">
        <v>7352697</v>
      </c>
      <c r="G31" s="3">
        <v>1567523</v>
      </c>
      <c r="H31" s="4">
        <f t="shared" si="1"/>
        <v>21.319020762041465</v>
      </c>
    </row>
    <row r="32" spans="1:8" x14ac:dyDescent="0.25">
      <c r="A32" s="3">
        <v>2012</v>
      </c>
      <c r="B32" s="3" t="s">
        <v>25</v>
      </c>
      <c r="C32" s="3">
        <v>2580430</v>
      </c>
      <c r="D32" s="3">
        <v>472578</v>
      </c>
      <c r="E32" s="4">
        <f t="shared" si="0"/>
        <v>18.313924423448807</v>
      </c>
      <c r="F32" s="3">
        <v>3448612</v>
      </c>
      <c r="G32" s="3">
        <v>652687</v>
      </c>
      <c r="H32" s="4">
        <f t="shared" si="1"/>
        <v>18.926078085908184</v>
      </c>
    </row>
    <row r="33" spans="1:8" x14ac:dyDescent="0.25">
      <c r="A33" s="3">
        <v>2013</v>
      </c>
      <c r="B33" s="3" t="s">
        <v>7</v>
      </c>
      <c r="C33" s="3">
        <v>7322744</v>
      </c>
      <c r="D33" s="3">
        <v>1474064</v>
      </c>
      <c r="E33" s="4">
        <f t="shared" si="0"/>
        <v>20.129940361154233</v>
      </c>
      <c r="F33" s="3">
        <v>8766897</v>
      </c>
      <c r="G33" s="3">
        <v>1765247</v>
      </c>
      <c r="H33" s="4">
        <f t="shared" si="1"/>
        <v>20.135368306482899</v>
      </c>
    </row>
    <row r="34" spans="1:8" x14ac:dyDescent="0.25">
      <c r="A34" s="3">
        <v>2014</v>
      </c>
      <c r="B34" s="3" t="s">
        <v>26</v>
      </c>
      <c r="C34" s="3">
        <v>3268417</v>
      </c>
      <c r="D34" s="3">
        <v>669935</v>
      </c>
      <c r="E34" s="4">
        <f t="shared" si="0"/>
        <v>20.497231534409472</v>
      </c>
      <c r="F34" s="3">
        <v>4136729.9999999995</v>
      </c>
      <c r="G34" s="3">
        <v>839788</v>
      </c>
      <c r="H34" s="4">
        <f t="shared" si="1"/>
        <v>20.300768964858719</v>
      </c>
    </row>
    <row r="35" spans="1:8" x14ac:dyDescent="0.25">
      <c r="A35" s="3">
        <v>2015</v>
      </c>
      <c r="B35" s="3" t="s">
        <v>27</v>
      </c>
      <c r="C35" s="3">
        <v>5442212</v>
      </c>
      <c r="D35" s="3">
        <v>1117338</v>
      </c>
      <c r="E35" s="4">
        <f t="shared" si="0"/>
        <v>20.530953222696947</v>
      </c>
      <c r="F35" s="3">
        <v>6811611</v>
      </c>
      <c r="G35" s="3">
        <v>1390865</v>
      </c>
      <c r="H35" s="4">
        <f t="shared" si="1"/>
        <v>20.419031562430678</v>
      </c>
    </row>
    <row r="36" spans="1:8" x14ac:dyDescent="0.25">
      <c r="A36" s="3">
        <v>2016</v>
      </c>
      <c r="B36" s="3" t="s">
        <v>28</v>
      </c>
      <c r="C36" s="3">
        <v>5275121</v>
      </c>
      <c r="D36" s="3">
        <v>1052515.5</v>
      </c>
      <c r="E36" s="4">
        <f t="shared" si="0"/>
        <v>19.952442797046739</v>
      </c>
      <c r="F36" s="3">
        <v>6571428</v>
      </c>
      <c r="G36" s="3">
        <v>1281738</v>
      </c>
      <c r="H36" s="4">
        <f t="shared" si="1"/>
        <v>19.504710391713946</v>
      </c>
    </row>
    <row r="37" spans="1:8" x14ac:dyDescent="0.25">
      <c r="A37" s="3">
        <v>2017</v>
      </c>
      <c r="B37" s="3" t="s">
        <v>29</v>
      </c>
      <c r="C37" s="3">
        <v>4503515</v>
      </c>
      <c r="D37" s="3">
        <v>934926</v>
      </c>
      <c r="E37" s="4">
        <f t="shared" si="0"/>
        <v>20.759917531084053</v>
      </c>
      <c r="F37" s="3">
        <v>6044453</v>
      </c>
      <c r="G37" s="3">
        <v>1238629</v>
      </c>
      <c r="H37" s="4">
        <f t="shared" si="1"/>
        <v>20.491994891845465</v>
      </c>
    </row>
    <row r="38" spans="1:8" x14ac:dyDescent="0.25">
      <c r="A38" s="3">
        <v>2018</v>
      </c>
      <c r="B38" s="3" t="s">
        <v>30</v>
      </c>
      <c r="C38" s="3">
        <v>7399308</v>
      </c>
      <c r="D38" s="3">
        <v>1469388</v>
      </c>
      <c r="E38" s="4">
        <f t="shared" si="0"/>
        <v>19.858451628179285</v>
      </c>
      <c r="F38" s="3">
        <v>9264536</v>
      </c>
      <c r="G38" s="3">
        <v>1790309</v>
      </c>
      <c r="H38" s="4">
        <f t="shared" si="1"/>
        <v>19.324324499359708</v>
      </c>
    </row>
    <row r="39" spans="1:8" x14ac:dyDescent="0.25">
      <c r="A39" s="3">
        <v>2019</v>
      </c>
      <c r="B39" s="3" t="s">
        <v>31</v>
      </c>
      <c r="C39" s="3">
        <v>4244111</v>
      </c>
      <c r="D39" s="3">
        <v>895688</v>
      </c>
      <c r="E39" s="4">
        <f t="shared" si="0"/>
        <v>21.104254813316619</v>
      </c>
      <c r="F39" s="3">
        <v>5433479</v>
      </c>
      <c r="G39" s="3">
        <v>1118906</v>
      </c>
      <c r="H39" s="4">
        <f t="shared" si="1"/>
        <v>20.592809873747555</v>
      </c>
    </row>
    <row r="40" spans="1:8" x14ac:dyDescent="0.25">
      <c r="A40" s="3">
        <v>2020</v>
      </c>
      <c r="B40" s="3" t="s">
        <v>44</v>
      </c>
      <c r="C40" s="3">
        <v>6098506</v>
      </c>
      <c r="D40" s="3">
        <v>1097240</v>
      </c>
      <c r="E40" s="4">
        <f t="shared" si="0"/>
        <v>17.991947536003082</v>
      </c>
      <c r="F40" s="3">
        <v>7576125</v>
      </c>
      <c r="G40" s="3">
        <v>1370182</v>
      </c>
      <c r="H40" s="4">
        <f t="shared" si="1"/>
        <v>18.085525252025278</v>
      </c>
    </row>
    <row r="41" spans="1:8" x14ac:dyDescent="0.25">
      <c r="A41" s="3">
        <v>2021</v>
      </c>
      <c r="B41" s="3" t="s">
        <v>51</v>
      </c>
      <c r="C41" s="3">
        <v>5767961</v>
      </c>
      <c r="D41" s="3">
        <v>1149072</v>
      </c>
      <c r="E41" s="4">
        <f t="shared" si="0"/>
        <v>19.921632618528452</v>
      </c>
      <c r="F41" s="3">
        <v>7543000</v>
      </c>
      <c r="G41" s="3">
        <v>1492069</v>
      </c>
      <c r="H41" s="4">
        <f t="shared" si="1"/>
        <v>19.780843165849131</v>
      </c>
    </row>
    <row r="42" spans="1:8" x14ac:dyDescent="0.25">
      <c r="A42" s="3">
        <v>2022</v>
      </c>
      <c r="B42" s="3" t="s">
        <v>52</v>
      </c>
      <c r="C42" s="3">
        <v>2675488</v>
      </c>
      <c r="D42" s="3">
        <v>512869</v>
      </c>
      <c r="E42" s="4">
        <f t="shared" si="0"/>
        <v>19.169175866234497</v>
      </c>
      <c r="F42" s="3">
        <v>3532400</v>
      </c>
      <c r="G42" s="3">
        <v>672103</v>
      </c>
      <c r="H42" s="4">
        <f t="shared" si="1"/>
        <v>19.026808968406748</v>
      </c>
    </row>
    <row r="43" spans="1:8" x14ac:dyDescent="0.25">
      <c r="A43" s="3">
        <v>2023</v>
      </c>
      <c r="B43" s="3" t="s">
        <v>55</v>
      </c>
      <c r="C43" s="3">
        <v>3079922</v>
      </c>
      <c r="D43" s="3">
        <v>576617</v>
      </c>
      <c r="E43" s="4">
        <f t="shared" si="0"/>
        <v>18.721805292471693</v>
      </c>
      <c r="F43" s="3">
        <v>4627976</v>
      </c>
      <c r="G43" s="3">
        <v>843371</v>
      </c>
      <c r="H43" s="4">
        <f t="shared" si="1"/>
        <v>18.223322679287879</v>
      </c>
    </row>
    <row r="44" spans="1:8" x14ac:dyDescent="0.25">
      <c r="A44" s="3">
        <v>2024</v>
      </c>
      <c r="B44" s="3" t="s">
        <v>56</v>
      </c>
      <c r="C44" s="3">
        <v>6185267</v>
      </c>
      <c r="D44" s="3">
        <v>1134309</v>
      </c>
      <c r="E44" s="4">
        <f t="shared" si="0"/>
        <v>18.338884966485683</v>
      </c>
      <c r="F44" s="3">
        <v>7761004</v>
      </c>
      <c r="G44" s="3">
        <v>1401354</v>
      </c>
      <c r="H44" s="4">
        <f t="shared" si="1"/>
        <v>18.056349410462872</v>
      </c>
    </row>
    <row r="45" spans="1:8" x14ac:dyDescent="0.25">
      <c r="A45" s="3">
        <v>2025</v>
      </c>
      <c r="B45" s="3" t="s">
        <v>57</v>
      </c>
      <c r="C45" s="8">
        <v>5372249</v>
      </c>
      <c r="D45" s="8">
        <v>878376</v>
      </c>
      <c r="E45" s="8">
        <f t="shared" si="0"/>
        <v>16.350247354506465</v>
      </c>
      <c r="F45" s="9">
        <v>7027959</v>
      </c>
      <c r="G45" s="8">
        <v>1184927</v>
      </c>
      <c r="H45" s="8">
        <f t="shared" si="1"/>
        <v>16.860186577639396</v>
      </c>
    </row>
  </sheetData>
  <sheetProtection selectLockedCells="1" selectUnlockedCells="1"/>
  <sortState xmlns:xlrd2="http://schemas.microsoft.com/office/spreadsheetml/2017/richdata2" ref="A2:H44">
    <sortCondition ref="A4:A44"/>
  </sortState>
  <phoneticPr fontId="5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A2" sqref="A2"/>
    </sheetView>
  </sheetViews>
  <sheetFormatPr baseColWidth="10" defaultRowHeight="12.75" x14ac:dyDescent="0.2"/>
  <sheetData>
    <row r="1" spans="1:1" x14ac:dyDescent="0.2">
      <c r="A1" t="s">
        <v>32</v>
      </c>
    </row>
    <row r="2" spans="1:1" x14ac:dyDescent="0.2">
      <c r="A2" s="5" t="s">
        <v>33</v>
      </c>
    </row>
    <row r="3" spans="1:1" x14ac:dyDescent="0.2">
      <c r="A3" t="s">
        <v>46</v>
      </c>
    </row>
    <row r="4" spans="1:1" x14ac:dyDescent="0.2">
      <c r="A4" s="5" t="s">
        <v>45</v>
      </c>
    </row>
    <row r="5" spans="1:1" x14ac:dyDescent="0.2">
      <c r="A5" t="s">
        <v>53</v>
      </c>
    </row>
    <row r="6" spans="1:1" x14ac:dyDescent="0.2">
      <c r="A6" s="5" t="s">
        <v>54</v>
      </c>
    </row>
    <row r="7" spans="1:1" ht="15" x14ac:dyDescent="0.2">
      <c r="A7" s="3"/>
    </row>
    <row r="8" spans="1:1" x14ac:dyDescent="0.2">
      <c r="A8" s="6"/>
    </row>
    <row r="9" spans="1:1" ht="15" x14ac:dyDescent="0.25">
      <c r="A9" s="7"/>
    </row>
    <row r="13" spans="1:1" ht="15" x14ac:dyDescent="0.25">
      <c r="A13" s="7"/>
    </row>
  </sheetData>
  <hyperlinks>
    <hyperlink ref="A2" r:id="rId1" location="ancla4" xr:uid="{BC062852-C750-4DD7-87ED-26153326FC85}"/>
    <hyperlink ref="A4" r:id="rId2" xr:uid="{AC085E6D-1BE1-44FD-80DD-221AD4BEDCEA}"/>
    <hyperlink ref="A6" r:id="rId3" display="https://www.juntadeandalucia.es/organismos/agriculturapescaaguaydesarrollorural/servicios/estadistica-cartografia/estadisticas-agricolas/paginas/avance-superficie-producciones-agricolas.html" xr:uid="{7B12397D-5A1A-497B-93FD-3FAD5871D84E}"/>
  </hyperlinks>
  <pageMargins left="0.7" right="0.7" top="0.75" bottom="0.75" header="0.3" footer="0.3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Crop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Ea</dc:creator>
  <cp:lastModifiedBy>José Antonio Oteros Moreno</cp:lastModifiedBy>
  <dcterms:created xsi:type="dcterms:W3CDTF">2016-07-11T22:33:56Z</dcterms:created>
  <dcterms:modified xsi:type="dcterms:W3CDTF">2026-04-27T14:42:58Z</dcterms:modified>
</cp:coreProperties>
</file>